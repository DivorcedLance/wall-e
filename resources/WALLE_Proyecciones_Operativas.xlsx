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aya\Downloads\"/>
    </mc:Choice>
  </mc:AlternateContent>
  <xr:revisionPtr revIDLastSave="0" documentId="8_{DEC0396E-8397-4B81-AAF2-A10192AD2AA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ño 1 - Trimestral" sheetId="1" r:id="rId1"/>
    <sheet name="Años 1-5 Anual" sheetId="2" r:id="rId2"/>
    <sheet name="Distribución por Nivel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3" l="1"/>
  <c r="F6" i="3"/>
  <c r="G6" i="3" s="1"/>
  <c r="D6" i="3"/>
  <c r="G5" i="3"/>
  <c r="F5" i="3"/>
  <c r="D5" i="3"/>
  <c r="F4" i="3"/>
  <c r="F7" i="3" s="1"/>
  <c r="D4" i="3"/>
  <c r="D7" i="3" s="1"/>
  <c r="H8" i="2"/>
  <c r="G8" i="2"/>
  <c r="F8" i="2"/>
  <c r="E8" i="2"/>
  <c r="J8" i="2" s="1"/>
  <c r="G7" i="2"/>
  <c r="H7" i="2" s="1"/>
  <c r="I7" i="2" s="1"/>
  <c r="F7" i="2"/>
  <c r="E7" i="2"/>
  <c r="H6" i="2"/>
  <c r="I6" i="2" s="1"/>
  <c r="G6" i="2"/>
  <c r="F6" i="2"/>
  <c r="E6" i="2"/>
  <c r="J6" i="2" s="1"/>
  <c r="J5" i="2"/>
  <c r="H5" i="2"/>
  <c r="I5" i="2" s="1"/>
  <c r="G5" i="2"/>
  <c r="F5" i="2"/>
  <c r="E5" i="2"/>
  <c r="G4" i="2"/>
  <c r="H4" i="2" s="1"/>
  <c r="F4" i="2"/>
  <c r="E4" i="2"/>
  <c r="E8" i="1"/>
  <c r="D8" i="1"/>
  <c r="C8" i="1"/>
  <c r="I7" i="1"/>
  <c r="H7" i="1"/>
  <c r="H8" i="1" s="1"/>
  <c r="G7" i="1"/>
  <c r="G8" i="1" s="1"/>
  <c r="F7" i="1"/>
  <c r="I6" i="1"/>
  <c r="H6" i="1"/>
  <c r="G6" i="1"/>
  <c r="F6" i="1"/>
  <c r="F8" i="1" s="1"/>
  <c r="I5" i="1"/>
  <c r="H5" i="1"/>
  <c r="G5" i="1"/>
  <c r="F5" i="1"/>
  <c r="H4" i="1"/>
  <c r="G4" i="1"/>
  <c r="F4" i="1"/>
  <c r="I8" i="2" l="1"/>
  <c r="J7" i="2"/>
  <c r="G4" i="3"/>
  <c r="G7" i="3" s="1"/>
</calcChain>
</file>

<file path=xl/sharedStrings.xml><?xml version="1.0" encoding="utf-8"?>
<sst xmlns="http://schemas.openxmlformats.org/spreadsheetml/2006/main" count="52" uniqueCount="46">
  <si>
    <t>W.A.L.L.-E. — Proyección de Crecimiento Operativo · Año 1 (Trimestral)</t>
  </si>
  <si>
    <t>Trimestre</t>
  </si>
  <si>
    <t>Meses</t>
  </si>
  <si>
    <t>Contratos
Base</t>
  </si>
  <si>
    <t>Contratos
Estándar</t>
  </si>
  <si>
    <t>Contratos
Premium</t>
  </si>
  <si>
    <t>Total
Contratos</t>
  </si>
  <si>
    <t>Área Gestionada
(m²)</t>
  </si>
  <si>
    <t>Ingreso Mensual
Estimado (S/.)</t>
  </si>
  <si>
    <t>Crecimiento
vs. trimestre anterior</t>
  </si>
  <si>
    <t>T1</t>
  </si>
  <si>
    <t>Mes 1 – 3</t>
  </si>
  <si>
    <t>—</t>
  </si>
  <si>
    <t>T2</t>
  </si>
  <si>
    <t>Mes 4 – 6</t>
  </si>
  <si>
    <t>T3</t>
  </si>
  <si>
    <t>Mes 7 – 9</t>
  </si>
  <si>
    <t>T4</t>
  </si>
  <si>
    <t>Mes 10 – 12</t>
  </si>
  <si>
    <t>TOTAL AÑO 1</t>
  </si>
  <si>
    <t>Precios de referencia: Base S/. 6,000/mes (~5,000 m²) · Estándar S/. 9,500/mes (~15,000 m²) · Premium S/. 14,000/mes (~40,000 m²)   |   Contratos acumulados por trimestre</t>
  </si>
  <si>
    <t>W.A.L.L.-E. — Proyección de Crecimiento Operativo · Años 1 al 5</t>
  </si>
  <si>
    <t>Año</t>
  </si>
  <si>
    <t>Área Total
Gestionada (m²)</t>
  </si>
  <si>
    <t>Ingreso Mensual
(S/.)</t>
  </si>
  <si>
    <t>Ingreso Anual
(S/.)</t>
  </si>
  <si>
    <t>Crecimiento
Anual Ingresos</t>
  </si>
  <si>
    <t>Crecimiento
Anual Contratos</t>
  </si>
  <si>
    <t>Año 1</t>
  </si>
  <si>
    <t>Año 2</t>
  </si>
  <si>
    <t>Año 3</t>
  </si>
  <si>
    <t>Año 4</t>
  </si>
  <si>
    <t>Año 5</t>
  </si>
  <si>
    <t>Contratos activos acumulados por año · Ingresos mensuales × 12 = ingreso anual · Precios: Base S/. 6,000 · Estándar S/. 9,500 · Premium S/. 14,000</t>
  </si>
  <si>
    <t>W.A.L.L.-E. — Distribución de Contratos por Nivel de Servicio · Cierre Año 1 (T4)</t>
  </si>
  <si>
    <t>Nivel de Servicio</t>
  </si>
  <si>
    <t>Contratos
Activos</t>
  </si>
  <si>
    <t>m² por
Contrato</t>
  </si>
  <si>
    <t>m² Totales</t>
  </si>
  <si>
    <t>Precio
Mensual (S/.)</t>
  </si>
  <si>
    <t>Ingreso Mensual
Total (S/.)</t>
  </si>
  <si>
    <t>% del Ingreso
Total</t>
  </si>
  <si>
    <t>Base  (~5,000 m²)</t>
  </si>
  <si>
    <t>Estándar (~15,000 m²)</t>
  </si>
  <si>
    <t>Premium (~40,000 m²)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</si>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</sst>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546E7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ECEFF1"/>
        <bgColor rgb="FFE8F5E9"/>
      </patternFill>
    </fill>
    <fill>
      <patternFill patternType="solid">
        <fgColor rgb="FFFFFFFF"/>
        <bgColor rgb="FFE8F5E9"/>
      </patternFill>
    </fill>
    <fill>
      <patternFill patternType="solid">
        <fgColor rgb="FFE8F5E9"/>
        <bgColor rgb="FFECEFF1"/>
      </patternFill>
    </fill>
    <fill>
      <patternFill patternType="solid">
        <fgColor rgb="FFC8E6C9"/>
        <bgColor rgb="FFE8F5E9"/>
      </patternFill>
    </fill>
    <fill>
      <patternFill patternType="solid">
        <fgColor rgb="FFA5D6A7"/>
        <bgColor rgb="FFC8E6C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0" borderId="0" xfId="0" applyFont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3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A5D6A7"/>
      <rgbColor rgb="FF808080"/>
      <rgbColor rgb="FF9999FF"/>
      <rgbColor rgb="FF993366"/>
      <rgbColor rgb="FFE8F5E9"/>
      <rgbColor rgb="FFEC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6E7A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showGridLines="0" tabSelected="1" zoomScaleNormal="100" workbookViewId="0">
      <selection sqref="A1:I1"/>
    </sheetView>
  </sheetViews>
  <sheetFormatPr baseColWidth="10" defaultColWidth="8.6640625" defaultRowHeight="14.4" x14ac:dyDescent="0.3"/>
  <cols>
    <col min="1" max="1" width="12" customWidth="1"/>
    <col min="2" max="2" width="14" customWidth="1"/>
    <col min="3" max="6" width="12" customWidth="1"/>
    <col min="7" max="7" width="18" customWidth="1"/>
    <col min="8" max="9" width="22" customWidth="1"/>
  </cols>
  <sheetData>
    <row r="1" spans="1:9" ht="45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18" customHeight="1" x14ac:dyDescent="0.3"/>
    <row r="3" spans="1:9" ht="39.75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15" customHeight="1" x14ac:dyDescent="0.3">
      <c r="A4" s="5" t="s">
        <v>10</v>
      </c>
      <c r="B4" s="6" t="s">
        <v>11</v>
      </c>
      <c r="C4" s="7">
        <v>1</v>
      </c>
      <c r="D4" s="7">
        <v>1</v>
      </c>
      <c r="E4" s="7">
        <v>0</v>
      </c>
      <c r="F4" s="8">
        <f>C4+D4+E4</f>
        <v>2</v>
      </c>
      <c r="G4" s="9">
        <f>C4*5000+D4*15000+E4*40000</f>
        <v>20000</v>
      </c>
      <c r="H4" s="10">
        <f>C4*6000+D4*9500+E4*14000</f>
        <v>15500</v>
      </c>
      <c r="I4" s="10" t="s">
        <v>12</v>
      </c>
    </row>
    <row r="5" spans="1:9" ht="15" customHeight="1" x14ac:dyDescent="0.3">
      <c r="A5" s="11" t="s">
        <v>13</v>
      </c>
      <c r="B5" s="12" t="s">
        <v>14</v>
      </c>
      <c r="C5" s="13">
        <v>2</v>
      </c>
      <c r="D5" s="13">
        <v>1</v>
      </c>
      <c r="E5" s="13">
        <v>1</v>
      </c>
      <c r="F5" s="14">
        <f>C5+D5+E5</f>
        <v>4</v>
      </c>
      <c r="G5" s="15">
        <f>C4*5000+D4*15000+E4*40000+C5*5000+D5*15000+E5*40000</f>
        <v>85000</v>
      </c>
      <c r="H5" s="16">
        <f>C4*6000+D4*9500+E4*14000+C5*6000+D5*9500+E5*14000</f>
        <v>51000</v>
      </c>
      <c r="I5" s="17">
        <f>(H5-H4)/H4</f>
        <v>2.2903225806451615</v>
      </c>
    </row>
    <row r="6" spans="1:9" ht="15" customHeight="1" x14ac:dyDescent="0.3">
      <c r="A6" s="5" t="s">
        <v>15</v>
      </c>
      <c r="B6" s="6" t="s">
        <v>16</v>
      </c>
      <c r="C6" s="7">
        <v>1</v>
      </c>
      <c r="D6" s="7">
        <v>2</v>
      </c>
      <c r="E6" s="7">
        <v>1</v>
      </c>
      <c r="F6" s="8">
        <f>C6+D6+E6</f>
        <v>4</v>
      </c>
      <c r="G6" s="9">
        <f>C4*5000+D4*15000+E4*40000+C5*5000+D5*15000+E5*40000+C6*5000+D6*15000+E6*40000</f>
        <v>160000</v>
      </c>
      <c r="H6" s="10">
        <f>C4*6000+D4*9500+E4*14000+C5*6000+D5*9500+E5*14000+C6*6000+D6*9500+E6*14000</f>
        <v>90000</v>
      </c>
      <c r="I6" s="18">
        <f>(H6-H5)/H5</f>
        <v>0.76470588235294112</v>
      </c>
    </row>
    <row r="7" spans="1:9" ht="15" customHeight="1" x14ac:dyDescent="0.3">
      <c r="A7" s="11" t="s">
        <v>17</v>
      </c>
      <c r="B7" s="12" t="s">
        <v>18</v>
      </c>
      <c r="C7" s="13">
        <v>0</v>
      </c>
      <c r="D7" s="13">
        <v>2</v>
      </c>
      <c r="E7" s="13">
        <v>2</v>
      </c>
      <c r="F7" s="14">
        <f>C7+D7+E7</f>
        <v>4</v>
      </c>
      <c r="G7" s="15">
        <f>C4*5000+D4*15000+E4*40000+C5*5000+D5*15000+E5*40000+C6*5000+D6*15000+E6*40000+C7*5000+D7*15000+E7*40000</f>
        <v>270000</v>
      </c>
      <c r="H7" s="16">
        <f>C4*6000+D4*9500+E4*14000+C5*6000+D5*9500+E5*14000+C6*6000+D6*9500+E6*14000+C7*6000+D7*9500+E7*14000</f>
        <v>137000</v>
      </c>
      <c r="I7" s="17">
        <f>(H7-H6)/H6</f>
        <v>0.52222222222222225</v>
      </c>
    </row>
    <row r="8" spans="1:9" ht="15" customHeight="1" x14ac:dyDescent="0.3">
      <c r="A8" s="2" t="s">
        <v>19</v>
      </c>
      <c r="B8" s="2"/>
      <c r="C8" s="19">
        <f>SUM(C4:C7)</f>
        <v>4</v>
      </c>
      <c r="D8" s="19">
        <f>SUM(D4:D7)</f>
        <v>6</v>
      </c>
      <c r="E8" s="19">
        <f>SUM(E4:E7)</f>
        <v>4</v>
      </c>
      <c r="F8" s="19">
        <f>SUM(F4:F7)</f>
        <v>14</v>
      </c>
      <c r="G8" s="20">
        <f>G7</f>
        <v>270000</v>
      </c>
      <c r="H8" s="21">
        <f>H7</f>
        <v>137000</v>
      </c>
      <c r="I8" s="22"/>
    </row>
    <row r="10" spans="1:9" ht="15" customHeight="1" x14ac:dyDescent="0.3">
      <c r="A10" s="1" t="s">
        <v>20</v>
      </c>
      <c r="B10" s="1"/>
      <c r="C10" s="1"/>
      <c r="D10" s="1"/>
      <c r="E10" s="1"/>
      <c r="F10" s="1"/>
      <c r="G10" s="1"/>
      <c r="H10" s="1"/>
      <c r="I10" s="1"/>
    </row>
  </sheetData>
  <mergeCells count="3">
    <mergeCell ref="A1:I1"/>
    <mergeCell ref="A8:B8"/>
    <mergeCell ref="A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showGridLines="0" zoomScaleNormal="100" workbookViewId="0">
      <selection sqref="A1:J1"/>
    </sheetView>
  </sheetViews>
  <sheetFormatPr baseColWidth="10" defaultColWidth="8.6640625" defaultRowHeight="14.4" x14ac:dyDescent="0.3"/>
  <cols>
    <col min="1" max="1" width="10" customWidth="1"/>
    <col min="2" max="5" width="12" customWidth="1"/>
    <col min="6" max="7" width="20" customWidth="1"/>
    <col min="8" max="8" width="22" customWidth="1"/>
    <col min="9" max="10" width="20" customWidth="1"/>
  </cols>
  <sheetData>
    <row r="1" spans="1:10" ht="45" customHeight="1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</row>
    <row r="3" spans="1:10" ht="39.75" customHeight="1" x14ac:dyDescent="0.3">
      <c r="A3" s="4" t="s">
        <v>22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</row>
    <row r="4" spans="1:10" ht="15" customHeight="1" x14ac:dyDescent="0.3">
      <c r="A4" s="23" t="s">
        <v>28</v>
      </c>
      <c r="B4" s="24">
        <v>4</v>
      </c>
      <c r="C4" s="24">
        <v>4</v>
      </c>
      <c r="D4" s="24">
        <v>2</v>
      </c>
      <c r="E4" s="25">
        <f>B4+C4+D4</f>
        <v>10</v>
      </c>
      <c r="F4" s="26">
        <f>B4*5000+C4*15000+D4*40000</f>
        <v>160000</v>
      </c>
      <c r="G4" s="27">
        <f>B4*6000+C4*9500+D4*14000</f>
        <v>90000</v>
      </c>
      <c r="H4" s="27">
        <f>G4*12</f>
        <v>1080000</v>
      </c>
      <c r="I4" s="27" t="s">
        <v>12</v>
      </c>
      <c r="J4" s="27" t="s">
        <v>12</v>
      </c>
    </row>
    <row r="5" spans="1:10" ht="15" customHeight="1" x14ac:dyDescent="0.3">
      <c r="A5" s="11" t="s">
        <v>29</v>
      </c>
      <c r="B5" s="13">
        <v>6</v>
      </c>
      <c r="C5" s="13">
        <v>7</v>
      </c>
      <c r="D5" s="13">
        <v>5</v>
      </c>
      <c r="E5" s="14">
        <f>B5+C5+D5</f>
        <v>18</v>
      </c>
      <c r="F5" s="28">
        <f>B5*5000+C5*15000+D5*40000</f>
        <v>335000</v>
      </c>
      <c r="G5" s="12">
        <f>B5*6000+C5*9500+D5*14000</f>
        <v>172500</v>
      </c>
      <c r="H5" s="12">
        <f>G5*12</f>
        <v>2070000</v>
      </c>
      <c r="I5" s="29">
        <f>(H5-H4)/H4</f>
        <v>0.91666666666666663</v>
      </c>
      <c r="J5" s="29">
        <f>(E5-E4)/E4</f>
        <v>0.8</v>
      </c>
    </row>
    <row r="6" spans="1:10" ht="15" customHeight="1" x14ac:dyDescent="0.3">
      <c r="A6" s="23" t="s">
        <v>30</v>
      </c>
      <c r="B6" s="24">
        <v>9</v>
      </c>
      <c r="C6" s="24">
        <v>11</v>
      </c>
      <c r="D6" s="24">
        <v>8</v>
      </c>
      <c r="E6" s="25">
        <f>B6+C6+D6</f>
        <v>28</v>
      </c>
      <c r="F6" s="26">
        <f>B6*5000+C6*15000+D6*40000</f>
        <v>530000</v>
      </c>
      <c r="G6" s="27">
        <f>B6*6000+C6*9500+D6*14000</f>
        <v>270500</v>
      </c>
      <c r="H6" s="27">
        <f>G6*12</f>
        <v>3246000</v>
      </c>
      <c r="I6" s="30">
        <f>(H6-H5)/H5</f>
        <v>0.56811594202898552</v>
      </c>
      <c r="J6" s="30">
        <f>(E6-E5)/E5</f>
        <v>0.55555555555555558</v>
      </c>
    </row>
    <row r="7" spans="1:10" ht="15" customHeight="1" x14ac:dyDescent="0.3">
      <c r="A7" s="11" t="s">
        <v>31</v>
      </c>
      <c r="B7" s="13">
        <v>13</v>
      </c>
      <c r="C7" s="13">
        <v>16</v>
      </c>
      <c r="D7" s="13">
        <v>11</v>
      </c>
      <c r="E7" s="14">
        <f>B7+C7+D7</f>
        <v>40</v>
      </c>
      <c r="F7" s="28">
        <f>B7*5000+C7*15000+D7*40000</f>
        <v>745000</v>
      </c>
      <c r="G7" s="12">
        <f>B7*6000+C7*9500+D7*14000</f>
        <v>384000</v>
      </c>
      <c r="H7" s="12">
        <f>G7*12</f>
        <v>4608000</v>
      </c>
      <c r="I7" s="29">
        <f>(H7-H6)/H6</f>
        <v>0.41959334565619222</v>
      </c>
      <c r="J7" s="29">
        <f>(E7-E6)/E6</f>
        <v>0.42857142857142855</v>
      </c>
    </row>
    <row r="8" spans="1:10" ht="15" customHeight="1" x14ac:dyDescent="0.3">
      <c r="A8" s="23" t="s">
        <v>32</v>
      </c>
      <c r="B8" s="24">
        <v>18</v>
      </c>
      <c r="C8" s="24">
        <v>22</v>
      </c>
      <c r="D8" s="24">
        <v>15</v>
      </c>
      <c r="E8" s="25">
        <f>B8+C8+D8</f>
        <v>55</v>
      </c>
      <c r="F8" s="26">
        <f>B8*5000+C8*15000+D8*40000</f>
        <v>1020000</v>
      </c>
      <c r="G8" s="27">
        <f>B8*6000+C8*9500+D8*14000</f>
        <v>527000</v>
      </c>
      <c r="H8" s="27">
        <f>G8*12</f>
        <v>6324000</v>
      </c>
      <c r="I8" s="30">
        <f>(H8-H7)/H7</f>
        <v>0.37239583333333331</v>
      </c>
      <c r="J8" s="30">
        <f>(E8-E7)/E7</f>
        <v>0.375</v>
      </c>
    </row>
    <row r="10" spans="1:10" ht="15" customHeight="1" x14ac:dyDescent="0.3">
      <c r="A10" s="1" t="s">
        <v>33</v>
      </c>
      <c r="B10" s="1"/>
      <c r="C10" s="1"/>
      <c r="D10" s="1"/>
      <c r="E10" s="1"/>
      <c r="F10" s="1"/>
      <c r="G10" s="1"/>
      <c r="H10" s="1"/>
      <c r="I10" s="1"/>
      <c r="J10" s="1"/>
    </row>
  </sheetData>
  <mergeCells count="2">
    <mergeCell ref="A1:J1"/>
    <mergeCell ref="A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showGridLines="0" zoomScaleNormal="100" workbookViewId="0">
      <selection sqref="A1:G1"/>
    </sheetView>
  </sheetViews>
  <sheetFormatPr baseColWidth="10" defaultColWidth="8.6640625" defaultRowHeight="14.4" x14ac:dyDescent="0.3"/>
  <cols>
    <col min="1" max="1" width="24" customWidth="1"/>
    <col min="2" max="2" width="13" customWidth="1"/>
    <col min="3" max="4" width="14" customWidth="1"/>
    <col min="5" max="5" width="18" customWidth="1"/>
    <col min="6" max="6" width="22" customWidth="1"/>
    <col min="7" max="7" width="18" customWidth="1"/>
  </cols>
  <sheetData>
    <row r="1" spans="1:7" ht="45" customHeight="1" x14ac:dyDescent="0.3">
      <c r="A1" s="3" t="s">
        <v>34</v>
      </c>
      <c r="B1" s="3"/>
      <c r="C1" s="3"/>
      <c r="D1" s="3"/>
      <c r="E1" s="3"/>
      <c r="F1" s="3"/>
      <c r="G1" s="3"/>
    </row>
    <row r="3" spans="1:7" ht="39.75" customHeight="1" x14ac:dyDescent="0.3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</row>
    <row r="4" spans="1:7" ht="15" customHeight="1" x14ac:dyDescent="0.3">
      <c r="A4" s="31" t="s">
        <v>42</v>
      </c>
      <c r="B4" s="24">
        <v>4</v>
      </c>
      <c r="C4" s="32">
        <v>5000</v>
      </c>
      <c r="D4" s="26">
        <f>B4*C4</f>
        <v>20000</v>
      </c>
      <c r="E4" s="24">
        <v>6000</v>
      </c>
      <c r="F4" s="27">
        <f>B4*E4</f>
        <v>24000</v>
      </c>
      <c r="G4" s="30">
        <f>F4/SUM($F$4:$F$6)</f>
        <v>0.26666666666666666</v>
      </c>
    </row>
    <row r="5" spans="1:7" ht="15" customHeight="1" x14ac:dyDescent="0.3">
      <c r="A5" s="33" t="s">
        <v>43</v>
      </c>
      <c r="B5" s="34">
        <v>4</v>
      </c>
      <c r="C5" s="35">
        <v>15000</v>
      </c>
      <c r="D5" s="36">
        <f>B5*C5</f>
        <v>60000</v>
      </c>
      <c r="E5" s="34">
        <v>9500</v>
      </c>
      <c r="F5" s="37">
        <f>B5*E5</f>
        <v>38000</v>
      </c>
      <c r="G5" s="38">
        <f>F5/SUM($F$4:$F$6)</f>
        <v>0.42222222222222222</v>
      </c>
    </row>
    <row r="6" spans="1:7" ht="15" customHeight="1" x14ac:dyDescent="0.3">
      <c r="A6" s="39" t="s">
        <v>44</v>
      </c>
      <c r="B6" s="40">
        <v>2</v>
      </c>
      <c r="C6" s="41">
        <v>40000</v>
      </c>
      <c r="D6" s="42">
        <f>B6*C6</f>
        <v>80000</v>
      </c>
      <c r="E6" s="40">
        <v>14000</v>
      </c>
      <c r="F6" s="43">
        <f>B6*E6</f>
        <v>28000</v>
      </c>
      <c r="G6" s="44">
        <f>F6/SUM($F$4:$F$6)</f>
        <v>0.31111111111111112</v>
      </c>
    </row>
    <row r="7" spans="1:7" ht="15" customHeight="1" x14ac:dyDescent="0.3">
      <c r="A7" s="4" t="s">
        <v>45</v>
      </c>
      <c r="B7" s="19">
        <f>SUM(B4:B6)</f>
        <v>10</v>
      </c>
      <c r="C7" s="22"/>
      <c r="D7" s="19">
        <f>SUM(D4:D6)</f>
        <v>160000</v>
      </c>
      <c r="E7" s="22"/>
      <c r="F7" s="4">
        <f>SUM(F4:F6)</f>
        <v>90000</v>
      </c>
      <c r="G7" s="45">
        <f>SUM(G4:G6)</f>
        <v>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Año 1 - Trimestral</vt:lpstr>
      <vt:lpstr>Años 1-5 Anual</vt:lpstr>
      <vt:lpstr>Distribución por Nivel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Brayan Alarcon</cp:lastModifiedBy>
  <cp:revision>0</cp:revision>
  <dcterms:created xsi:type="dcterms:W3CDTF">2026-06-01T22:06:22Z</dcterms:created>
  <dcterms:modified xsi:type="dcterms:W3CDTF">2026-06-01T22:14:53Z</dcterms:modified>
  <dc:language>en-US</dc:language>
</cp:coreProperties>
</file>